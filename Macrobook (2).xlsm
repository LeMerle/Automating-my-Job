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60" windowWidth="18195" windowHeight="11835"/>
  </bookViews>
  <sheets>
    <sheet name="Sheet1" sheetId="1" r:id="rId1"/>
  </sheets>
  <calcPr calcId="144525"/>
</workbook>
</file>

<file path=xl/calcChain.xml><?xml version="1.0" encoding="utf-8"?>
<calcChain xmlns="http://schemas.openxmlformats.org/spreadsheetml/2006/main">
  <c r="E5" i="1" l="1"/>
  <c r="E6" i="1"/>
  <c r="F2" i="1"/>
  <c r="D6" i="1" l="1"/>
  <c r="C6" i="1"/>
  <c r="C5" i="1"/>
  <c r="D5" i="1" s="1"/>
  <c r="B6" i="1"/>
  <c r="A5" i="1"/>
  <c r="B5" i="1"/>
</calcChain>
</file>

<file path=xl/sharedStrings.xml><?xml version="1.0" encoding="utf-8"?>
<sst xmlns="http://schemas.openxmlformats.org/spreadsheetml/2006/main" count="8" uniqueCount="8">
  <si>
    <t>ctn Width:</t>
  </si>
  <si>
    <t>ctn Length:</t>
  </si>
  <si>
    <t>ctn Height:</t>
  </si>
  <si>
    <t>plt Width:</t>
  </si>
  <si>
    <t>plt Length:</t>
  </si>
  <si>
    <t>plt Height:</t>
  </si>
  <si>
    <t>Pallet estimate</t>
  </si>
  <si>
    <t>ctn Amount: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</si>
</sst>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3" borderId="0" xfId="0" applyFill="1"/>
    <xf numFmtId="0" fontId="0" fillId="0" borderId="0" xfId="0" applyBorder="1"/>
    <xf numFmtId="0" fontId="0" fillId="2" borderId="0" xfId="0" applyFill="1" applyBorder="1"/>
    <xf numFmtId="0" fontId="2" fillId="0" borderId="0" xfId="0" applyFon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tabSelected="1" workbookViewId="0">
      <selection activeCell="F16" sqref="F16"/>
    </sheetView>
  </sheetViews>
  <sheetFormatPr defaultRowHeight="15" x14ac:dyDescent="0.25"/>
  <cols>
    <col min="1" max="1" width="12" customWidth="1"/>
    <col min="2" max="2" width="12.140625" customWidth="1"/>
    <col min="3" max="3" width="13.28515625" customWidth="1"/>
    <col min="4" max="4" width="12.85546875" customWidth="1"/>
    <col min="5" max="5" width="21" bestFit="1" customWidth="1"/>
    <col min="6" max="6" width="19.42578125" customWidth="1"/>
  </cols>
  <sheetData>
    <row r="1" spans="1:6" x14ac:dyDescent="0.25">
      <c r="A1" s="1" t="s">
        <v>2</v>
      </c>
      <c r="B1" s="1" t="s">
        <v>0</v>
      </c>
      <c r="C1" s="1" t="s">
        <v>1</v>
      </c>
      <c r="D1" s="1" t="s">
        <v>7</v>
      </c>
      <c r="F1" s="1" t="s">
        <v>6</v>
      </c>
    </row>
    <row r="2" spans="1:6" x14ac:dyDescent="0.25">
      <c r="A2">
        <v>6</v>
      </c>
      <c r="B2">
        <v>3</v>
      </c>
      <c r="C2">
        <v>6</v>
      </c>
      <c r="D2">
        <v>20543</v>
      </c>
      <c r="F2" s="5">
        <f>IF(D5&gt;D6, ROUNDUP((D2/D5), 0), ROUNDUP((D2/D6), 0))</f>
        <v>17</v>
      </c>
    </row>
    <row r="3" spans="1:6" x14ac:dyDescent="0.25">
      <c r="A3" s="1" t="s">
        <v>5</v>
      </c>
      <c r="B3" s="1" t="s">
        <v>3</v>
      </c>
      <c r="C3" s="1" t="s">
        <v>4</v>
      </c>
      <c r="E3" s="6"/>
      <c r="F3" s="6"/>
    </row>
    <row r="4" spans="1:6" x14ac:dyDescent="0.25">
      <c r="A4">
        <v>72</v>
      </c>
      <c r="B4">
        <v>48</v>
      </c>
      <c r="C4">
        <v>40</v>
      </c>
      <c r="D4" s="3"/>
      <c r="E4" s="6"/>
      <c r="F4" s="6"/>
    </row>
    <row r="5" spans="1:6" x14ac:dyDescent="0.25">
      <c r="A5">
        <f>TRUNC(A4/A2)</f>
        <v>12</v>
      </c>
      <c r="B5">
        <f>TRUNC(B4/B2)</f>
        <v>16</v>
      </c>
      <c r="C5" s="3">
        <f>TRUNC(C4/C2)</f>
        <v>6</v>
      </c>
      <c r="D5" s="4">
        <f>A5*B5*C5</f>
        <v>1152</v>
      </c>
      <c r="E5" t="str">
        <f>IF(D5&gt;D6, "Optimal Configuration", "Sub-Optimal")</f>
        <v>Sub-Optimal</v>
      </c>
    </row>
    <row r="6" spans="1:6" x14ac:dyDescent="0.25">
      <c r="B6">
        <f>TRUNC(B4/C2)</f>
        <v>8</v>
      </c>
      <c r="C6">
        <f>TRUNC(C4/B2)</f>
        <v>13</v>
      </c>
      <c r="D6" s="2">
        <f>A5*B6*C6</f>
        <v>1248</v>
      </c>
      <c r="E6" t="str">
        <f>IF(D6&gt;D5, "Optimal Configuration", "Sub-optimal")</f>
        <v>Optimal Configuration</v>
      </c>
    </row>
  </sheetData>
  <pageMargins left="0.7" right="0.7" top="0.75" bottom="0.75" header="0.3" footer="0.3"/>
  <pageSetup orientation="portrait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Jlahome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Wilder</dc:creator>
  <cp:lastModifiedBy>Nathan Wilder</cp:lastModifiedBy>
  <dcterms:created xsi:type="dcterms:W3CDTF">2019-01-14T23:36:01Z</dcterms:created>
  <dcterms:modified xsi:type="dcterms:W3CDTF">2019-09-10T19:15:51Z</dcterms:modified>
</cp:coreProperties>
</file>